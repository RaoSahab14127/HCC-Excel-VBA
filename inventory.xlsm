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05" yWindow="-105" windowWidth="19425" windowHeight="10305" activeTab="1"/>
  </bookViews>
  <sheets>
    <sheet name="Data" sheetId="1" r:id="rId1"/>
    <sheet name="Template" sheetId="2" r:id="rId2"/>
    <sheet name="Resource Links" sheetId="3" r:id="rId3"/>
  </sheets>
  <definedNames>
    <definedName name="_xlnm._FilterDatabase" localSheetId="0" hidden="1">Data!$A$3:$B$9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4" i="1" l="1"/>
  <c r="G25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4" i="1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6" i="2"/>
  <c r="E22" i="2" l="1"/>
</calcChain>
</file>

<file path=xl/sharedStrings.xml><?xml version="1.0" encoding="utf-8"?>
<sst xmlns="http://schemas.openxmlformats.org/spreadsheetml/2006/main" count="128" uniqueCount="68">
  <si>
    <t>S.No</t>
  </si>
  <si>
    <t>Customer Name</t>
  </si>
  <si>
    <t>Gabija Casey</t>
  </si>
  <si>
    <t>WhatsApp Number</t>
  </si>
  <si>
    <t>Skip</t>
  </si>
  <si>
    <t xml:space="preserve">Download our free Excel utility Tool and improve your productivity: </t>
  </si>
  <si>
    <t>YouTube Channel:</t>
  </si>
  <si>
    <t>https://www.pk-anexcelexpert.com/products/pks-utility-tool-v2-0/</t>
  </si>
  <si>
    <t>https://www.youtube.com/c/PKAnExcelExpert</t>
  </si>
  <si>
    <t xml:space="preserve">See our Excel Products: </t>
  </si>
  <si>
    <t>Website:</t>
  </si>
  <si>
    <t>https://www.pk-anexcelexpert.com/products/</t>
  </si>
  <si>
    <t>https://WWW.PK-AnExcelExpert.com</t>
  </si>
  <si>
    <t>Visit to learn more:</t>
  </si>
  <si>
    <t>Facebook:</t>
  </si>
  <si>
    <t xml:space="preserve">Chart and Visualizations: </t>
  </si>
  <si>
    <t>https://www.pk-anexcelexpert.com/category/blogs/charts-and-visualization/</t>
  </si>
  <si>
    <t>https://www.facebook.com/PKAnExcelExpert</t>
  </si>
  <si>
    <t xml:space="preserve">VBA Course: </t>
  </si>
  <si>
    <t>https://www.pk-anexcelexpert.com/vba/</t>
  </si>
  <si>
    <t xml:space="preserve">Download useful Templates: </t>
  </si>
  <si>
    <t>https://www.pk-anexcelexpert.com/category/templates/</t>
  </si>
  <si>
    <t>Telegram:</t>
  </si>
  <si>
    <t xml:space="preserve">Dashboards: </t>
  </si>
  <si>
    <t xml:space="preserve">https://www.pk-anexcelexpert.com/excel-dashboard/ </t>
  </si>
  <si>
    <t>https://t.me/joinchat/AAAAAE2OnviiEk5o1o8i4w</t>
  </si>
  <si>
    <t>Watch the best info-graphics and dynamic charts from below link:</t>
  </si>
  <si>
    <t>Pinterest:</t>
  </si>
  <si>
    <t>https://www.youtube.com/playlist?list=PLbDvAYjpWJ7CEAHn-iuGSeLbUtFnYekHr</t>
  </si>
  <si>
    <t>https://www.pinterest.com/PKAnExcelExpert/</t>
  </si>
  <si>
    <t xml:space="preserve">Learn and free download best excel Dashboard template: </t>
  </si>
  <si>
    <t>LinkedIn:</t>
  </si>
  <si>
    <t>https://www.youtube.com/playlist?list=PLbDvAYjpWJ7CpupRYMRkXSN0L92t7nUuF</t>
  </si>
  <si>
    <t>https://www.linkedin.com/company/pk-anexcelexpert</t>
  </si>
  <si>
    <t>Learn Step by Step VBA:</t>
  </si>
  <si>
    <t>Instagram:</t>
  </si>
  <si>
    <t>https://www.youtube.com/playlist?list=PLbDvAYjpWJ7BcoaFQD-syOrZzNSLZycwH</t>
  </si>
  <si>
    <t>https://www.instagram.com/pkanexcelexpert</t>
  </si>
  <si>
    <t>Visit our Amazon Store</t>
  </si>
  <si>
    <t>https://www.amazon.in/shop/PKAnExcelExpert</t>
  </si>
  <si>
    <t>Name</t>
  </si>
  <si>
    <t>Quantity</t>
  </si>
  <si>
    <t>Total Amount</t>
  </si>
  <si>
    <t>Price</t>
  </si>
  <si>
    <t>Medicine</t>
  </si>
  <si>
    <t xml:space="preserve">Total </t>
  </si>
  <si>
    <t>Panadol x</t>
  </si>
  <si>
    <t>Parent Name</t>
  </si>
  <si>
    <t>Parents WhatsApp</t>
  </si>
  <si>
    <t>Visit Date</t>
  </si>
  <si>
    <t>Hammad</t>
  </si>
  <si>
    <t>Hexagon</t>
  </si>
  <si>
    <t>pentagon</t>
  </si>
  <si>
    <t>Octagon</t>
  </si>
  <si>
    <t>flygel</t>
  </si>
  <si>
    <t>glucose</t>
  </si>
  <si>
    <t>penta</t>
  </si>
  <si>
    <t>sentagon</t>
  </si>
  <si>
    <t>hamaron</t>
  </si>
  <si>
    <t>disprine</t>
  </si>
  <si>
    <t>harsa</t>
  </si>
  <si>
    <t>hansa</t>
  </si>
  <si>
    <t>dettol</t>
  </si>
  <si>
    <t>Regix 400gm</t>
  </si>
  <si>
    <t>ista pens 20mg</t>
  </si>
  <si>
    <t>Tim Martin</t>
  </si>
  <si>
    <t>Zunair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</si>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</sst>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5" x14ac:knownFonts="1">
    <font>
      <sz val="11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 Rounded MT Bold"/>
      <family val="2"/>
    </font>
  </fonts>
  <fills count="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auto="1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theme="1"/>
      </left>
      <right style="thin">
        <color theme="0"/>
      </right>
      <top style="medium">
        <color theme="1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medium">
        <color theme="1"/>
      </top>
      <bottom style="medium">
        <color theme="0"/>
      </bottom>
      <diagonal/>
    </border>
    <border>
      <left style="thin">
        <color theme="0"/>
      </left>
      <right style="medium">
        <color theme="1"/>
      </right>
      <top style="medium">
        <color theme="1"/>
      </top>
      <bottom style="medium">
        <color theme="0"/>
      </bottom>
      <diagonal/>
    </border>
    <border>
      <left style="medium">
        <color theme="1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theme="1"/>
      </right>
      <top/>
      <bottom style="thin">
        <color theme="0"/>
      </bottom>
      <diagonal/>
    </border>
    <border>
      <left style="medium">
        <color theme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 style="medium">
        <color theme="1"/>
      </left>
      <right style="thin">
        <color theme="0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medium">
        <color theme="1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medium">
        <color theme="1"/>
      </right>
      <top style="thin">
        <color theme="0"/>
      </top>
      <bottom style="thin">
        <color theme="0"/>
      </bottom>
      <diagonal/>
    </border>
    <border>
      <left style="medium">
        <color theme="1"/>
      </left>
      <right style="thin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 style="medium">
        <color theme="0"/>
      </top>
      <bottom/>
      <diagonal/>
    </border>
    <border>
      <left style="thin">
        <color theme="0"/>
      </left>
      <right style="medium">
        <color theme="1"/>
      </right>
      <top style="medium">
        <color theme="0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horizontal="center"/>
    </xf>
    <xf numFmtId="0" fontId="3" fillId="0" borderId="0" xfId="1"/>
    <xf numFmtId="0" fontId="2" fillId="0" borderId="0" xfId="0" applyFont="1"/>
    <xf numFmtId="0" fontId="0" fillId="0" borderId="1" xfId="0" applyBorder="1"/>
    <xf numFmtId="0" fontId="0" fillId="0" borderId="5" xfId="0" applyBorder="1"/>
    <xf numFmtId="0" fontId="0" fillId="0" borderId="3" xfId="0" applyBorder="1"/>
    <xf numFmtId="0" fontId="0" fillId="0" borderId="6" xfId="0" applyBorder="1"/>
    <xf numFmtId="0" fontId="0" fillId="2" borderId="2" xfId="0" applyFill="1" applyBorder="1"/>
    <xf numFmtId="0" fontId="0" fillId="2" borderId="12" xfId="0" applyFill="1" applyBorder="1"/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43" fontId="0" fillId="2" borderId="13" xfId="0" applyNumberFormat="1" applyFill="1" applyBorder="1"/>
    <xf numFmtId="39" fontId="0" fillId="2" borderId="16" xfId="0" applyNumberFormat="1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20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2" fontId="0" fillId="0" borderId="1" xfId="0" applyNumberFormat="1" applyBorder="1"/>
    <xf numFmtId="14" fontId="0" fillId="0" borderId="0" xfId="0" applyNumberFormat="1" applyAlignment="1">
      <alignment horizontal="center"/>
    </xf>
    <xf numFmtId="0" fontId="4" fillId="4" borderId="23" xfId="0" applyFont="1" applyFill="1" applyBorder="1"/>
    <xf numFmtId="0" fontId="0" fillId="0" borderId="24" xfId="0" applyBorder="1"/>
    <xf numFmtId="0" fontId="1" fillId="0" borderId="1" xfId="0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2" fontId="1" fillId="0" borderId="1" xfId="0" quotePrefix="1" applyNumberFormat="1" applyFont="1" applyBorder="1" applyAlignment="1">
      <alignment horizontal="center" vertical="center"/>
    </xf>
    <xf numFmtId="14" fontId="1" fillId="0" borderId="1" xfId="0" quotePrefix="1" applyNumberFormat="1" applyFont="1" applyBorder="1" applyAlignment="1">
      <alignment horizontal="center" vertical="center"/>
    </xf>
    <xf numFmtId="0" fontId="4" fillId="3" borderId="25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14" fontId="1" fillId="0" borderId="24" xfId="0" quotePrefix="1" applyNumberFormat="1" applyFont="1" applyBorder="1" applyAlignment="1">
      <alignment horizontal="center" vertical="center"/>
    </xf>
    <xf numFmtId="2" fontId="1" fillId="0" borderId="24" xfId="0" applyNumberFormat="1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14" fontId="1" fillId="0" borderId="29" xfId="0" quotePrefix="1" applyNumberFormat="1" applyFont="1" applyBorder="1" applyAlignment="1">
      <alignment horizontal="center" vertical="center"/>
    </xf>
    <xf numFmtId="0" fontId="0" fillId="0" borderId="29" xfId="0" applyBorder="1"/>
    <xf numFmtId="14" fontId="0" fillId="0" borderId="0" xfId="0" applyNumberFormat="1"/>
    <xf numFmtId="14" fontId="4" fillId="3" borderId="23" xfId="0" applyNumberFormat="1" applyFont="1" applyFill="1" applyBorder="1" applyAlignment="1">
      <alignment horizontal="center" vertical="center"/>
    </xf>
    <xf numFmtId="0" fontId="4" fillId="4" borderId="30" xfId="0" applyFont="1" applyFill="1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5" borderId="0" xfId="0" applyFill="1" applyBorder="1"/>
    <xf numFmtId="0" fontId="4" fillId="5" borderId="0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139700</xdr:rowOff>
    </xdr:from>
    <xdr:to>
      <xdr:col>13</xdr:col>
      <xdr:colOff>295275</xdr:colOff>
      <xdr:row>1</xdr:row>
      <xdr:rowOff>120650</xdr:rowOff>
    </xdr:to>
    <xdr:sp macro="[0]!Send_Image_To_WhatsApp" textlink="">
      <xdr:nvSpPr>
        <xdr:cNvPr id="6" name="Rectangle: Rounded Corners 5">
          <a:extLst>
            <a:ext uri="{FF2B5EF4-FFF2-40B4-BE49-F238E27FC236}">
              <a16:creationId xmlns="" xmlns:a16="http://schemas.microsoft.com/office/drawing/2014/main" id="{D5D53797-13A4-5997-98FF-F4AA4832DA36}"/>
            </a:ext>
          </a:extLst>
        </xdr:cNvPr>
        <xdr:cNvSpPr/>
      </xdr:nvSpPr>
      <xdr:spPr>
        <a:xfrm>
          <a:off x="2590800" y="139700"/>
          <a:ext cx="9744075" cy="247650"/>
        </a:xfrm>
        <a:prstGeom prst="roundRect">
          <a:avLst>
            <a:gd name="adj" fmla="val 50000"/>
          </a:avLst>
        </a:prstGeom>
        <a:solidFill>
          <a:srgbClr val="002060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latin typeface="Comic Sans MS" panose="030F0702030302020204" pitchFamily="66" charset="0"/>
            </a:rPr>
            <a:t>Send Images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35231</xdr:colOff>
      <xdr:row>0</xdr:row>
      <xdr:rowOff>0</xdr:rowOff>
    </xdr:from>
    <xdr:ext cx="2031390" cy="468013"/>
    <xdr:sp macro="" textlink="">
      <xdr:nvSpPr>
        <xdr:cNvPr id="2" name="Rectangle 1">
          <a:extLst>
            <a:ext uri="{FF2B5EF4-FFF2-40B4-BE49-F238E27FC236}">
              <a16:creationId xmlns="" xmlns:a16="http://schemas.microsoft.com/office/drawing/2014/main" id="{E3F8807F-2ACC-444F-A2F7-1CBF0DCCF471}"/>
            </a:ext>
          </a:extLst>
        </xdr:cNvPr>
        <xdr:cNvSpPr/>
      </xdr:nvSpPr>
      <xdr:spPr>
        <a:xfrm>
          <a:off x="4429431" y="0"/>
          <a:ext cx="2031390" cy="46801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400" b="0" u="sng" cap="none" spc="0">
              <a:ln w="0"/>
              <a:solidFill>
                <a:srgbClr val="0070C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Resource</a:t>
          </a:r>
          <a:r>
            <a:rPr lang="en-US" sz="2400" b="0" u="sng" cap="none" spc="0" baseline="0">
              <a:ln w="0"/>
              <a:solidFill>
                <a:srgbClr val="0070C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Links</a:t>
          </a:r>
          <a:endParaRPr lang="en-US" sz="2400" b="0" u="sng" cap="none" spc="0">
            <a:ln w="0"/>
            <a:solidFill>
              <a:srgbClr val="0070C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 editAs="oneCell">
    <xdr:from>
      <xdr:col>0</xdr:col>
      <xdr:colOff>152400</xdr:colOff>
      <xdr:row>0</xdr:row>
      <xdr:rowOff>31750</xdr:rowOff>
    </xdr:from>
    <xdr:to>
      <xdr:col>1</xdr:col>
      <xdr:colOff>459358</xdr:colOff>
      <xdr:row>2</xdr:row>
      <xdr:rowOff>152400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3723BC17-B2F1-49E1-B393-60668D352E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31750"/>
          <a:ext cx="491108" cy="4889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bDvAYjpWJ7CpupRYMRkXSN0L92t7nUuF" TargetMode="External"/><Relationship Id="rId13" Type="http://schemas.openxmlformats.org/officeDocument/2006/relationships/hyperlink" Target="https://www.pinterest.com/PKAnExcelExpert/" TargetMode="External"/><Relationship Id="rId18" Type="http://schemas.openxmlformats.org/officeDocument/2006/relationships/drawing" Target="../drawings/drawing2.xml"/><Relationship Id="rId3" Type="http://schemas.openxmlformats.org/officeDocument/2006/relationships/hyperlink" Target="https://www.pk-anexcelexpert.com/category/blogs/charts-and-visualization/" TargetMode="External"/><Relationship Id="rId7" Type="http://schemas.openxmlformats.org/officeDocument/2006/relationships/hyperlink" Target="https://www.youtube.com/playlist?list=PLbDvAYjpWJ7CEAHn-iuGSeLbUtFnYekHr" TargetMode="External"/><Relationship Id="rId12" Type="http://schemas.openxmlformats.org/officeDocument/2006/relationships/hyperlink" Target="https://t.me/joinchat/AAAAAE2OnviiEk5o1o8i4w" TargetMode="External"/><Relationship Id="rId17" Type="http://schemas.openxmlformats.org/officeDocument/2006/relationships/hyperlink" Target="https://www.instagram.com/pkanexcelexpert" TargetMode="External"/><Relationship Id="rId2" Type="http://schemas.openxmlformats.org/officeDocument/2006/relationships/hyperlink" Target="https://www.pk-anexcelexpert.com/products/" TargetMode="External"/><Relationship Id="rId16" Type="http://schemas.openxmlformats.org/officeDocument/2006/relationships/hyperlink" Target="https://www.linkedin.com/company/pk-anexcelexpert" TargetMode="External"/><Relationship Id="rId1" Type="http://schemas.openxmlformats.org/officeDocument/2006/relationships/hyperlink" Target="https://www.pk-anexcelexpert.com/products/pks-utility-tool-v2-0/" TargetMode="External"/><Relationship Id="rId6" Type="http://schemas.openxmlformats.org/officeDocument/2006/relationships/hyperlink" Target="https://www.pk-anexcelexpert.com/excel-dashboard/" TargetMode="External"/><Relationship Id="rId11" Type="http://schemas.openxmlformats.org/officeDocument/2006/relationships/hyperlink" Target="https://www.facebook.com/PKAnExcelExpert" TargetMode="External"/><Relationship Id="rId5" Type="http://schemas.openxmlformats.org/officeDocument/2006/relationships/hyperlink" Target="https://www.pk-anexcelexpert.com/category/templates/" TargetMode="External"/><Relationship Id="rId15" Type="http://schemas.openxmlformats.org/officeDocument/2006/relationships/hyperlink" Target="https://www.youtube.com/c/PKAnExcelExpert" TargetMode="External"/><Relationship Id="rId10" Type="http://schemas.openxmlformats.org/officeDocument/2006/relationships/hyperlink" Target="https://www.pk-anexcelexpert.com/" TargetMode="External"/><Relationship Id="rId4" Type="http://schemas.openxmlformats.org/officeDocument/2006/relationships/hyperlink" Target="https://www.pk-anexcelexpert.com/vba/" TargetMode="External"/><Relationship Id="rId9" Type="http://schemas.openxmlformats.org/officeDocument/2006/relationships/hyperlink" Target="https://www.youtube.com/playlist?list=PLbDvAYjpWJ7BcoaFQD-syOrZzNSLZycwH" TargetMode="External"/><Relationship Id="rId14" Type="http://schemas.openxmlformats.org/officeDocument/2006/relationships/hyperlink" Target="https://www.amazon.in/shop/PKAnExcelExper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Z26"/>
  <sheetViews>
    <sheetView showGridLines="0" topLeftCell="AE1" zoomScaleNormal="100" workbookViewId="0">
      <selection activeCell="H4" sqref="H4"/>
    </sheetView>
  </sheetViews>
  <sheetFormatPr defaultRowHeight="15" x14ac:dyDescent="0.25"/>
  <cols>
    <col min="1" max="1" width="5.85546875" style="1" customWidth="1"/>
    <col min="2" max="2" width="16.28515625" style="1" customWidth="1"/>
    <col min="3" max="5" width="17.42578125" style="1" customWidth="1"/>
    <col min="6" max="6" width="17.42578125" style="27" customWidth="1"/>
    <col min="7" max="7" width="8.7109375" style="1"/>
    <col min="53" max="16384" width="9.140625" style="52"/>
  </cols>
  <sheetData>
    <row r="1" spans="1:52" s="52" customFormat="1" ht="21" customHeight="1" x14ac:dyDescent="0.25">
      <c r="A1"/>
      <c r="B1"/>
      <c r="C1"/>
      <c r="D1"/>
      <c r="E1"/>
      <c r="F1" s="46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</row>
    <row r="2" spans="1:52" s="52" customFormat="1" ht="21" customHeight="1" thickBot="1" x14ac:dyDescent="0.3">
      <c r="A2"/>
      <c r="B2"/>
      <c r="C2"/>
      <c r="D2"/>
      <c r="E2"/>
      <c r="F2" s="46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</row>
    <row r="3" spans="1:52" s="53" customFormat="1" ht="15" customHeight="1" x14ac:dyDescent="0.2">
      <c r="A3" s="34" t="s">
        <v>0</v>
      </c>
      <c r="B3" s="35" t="s">
        <v>1</v>
      </c>
      <c r="C3" s="35" t="s">
        <v>3</v>
      </c>
      <c r="D3" s="35" t="s">
        <v>47</v>
      </c>
      <c r="E3" s="35" t="s">
        <v>48</v>
      </c>
      <c r="F3" s="47" t="s">
        <v>49</v>
      </c>
      <c r="G3" s="36" t="s">
        <v>4</v>
      </c>
      <c r="H3" s="28" t="s">
        <v>44</v>
      </c>
      <c r="I3" s="28" t="s">
        <v>43</v>
      </c>
      <c r="J3" s="28" t="s">
        <v>41</v>
      </c>
      <c r="K3" s="28" t="s">
        <v>44</v>
      </c>
      <c r="L3" s="28" t="s">
        <v>43</v>
      </c>
      <c r="M3" s="28" t="s">
        <v>41</v>
      </c>
      <c r="N3" s="28" t="s">
        <v>44</v>
      </c>
      <c r="O3" s="28" t="s">
        <v>43</v>
      </c>
      <c r="P3" s="28" t="s">
        <v>41</v>
      </c>
      <c r="Q3" s="28" t="s">
        <v>44</v>
      </c>
      <c r="R3" s="28" t="s">
        <v>43</v>
      </c>
      <c r="S3" s="28" t="s">
        <v>41</v>
      </c>
      <c r="T3" s="28" t="s">
        <v>44</v>
      </c>
      <c r="U3" s="28" t="s">
        <v>43</v>
      </c>
      <c r="V3" s="28" t="s">
        <v>41</v>
      </c>
      <c r="W3" s="28" t="s">
        <v>44</v>
      </c>
      <c r="X3" s="28" t="s">
        <v>43</v>
      </c>
      <c r="Y3" s="28" t="s">
        <v>41</v>
      </c>
      <c r="Z3" s="28" t="s">
        <v>44</v>
      </c>
      <c r="AA3" s="28" t="s">
        <v>43</v>
      </c>
      <c r="AB3" s="28" t="s">
        <v>41</v>
      </c>
      <c r="AC3" s="28" t="s">
        <v>44</v>
      </c>
      <c r="AD3" s="28" t="s">
        <v>43</v>
      </c>
      <c r="AE3" s="28" t="s">
        <v>41</v>
      </c>
      <c r="AF3" s="28" t="s">
        <v>44</v>
      </c>
      <c r="AG3" s="28" t="s">
        <v>43</v>
      </c>
      <c r="AH3" s="28" t="s">
        <v>41</v>
      </c>
      <c r="AI3" s="28" t="s">
        <v>44</v>
      </c>
      <c r="AJ3" s="28" t="s">
        <v>43</v>
      </c>
      <c r="AK3" s="28" t="s">
        <v>41</v>
      </c>
      <c r="AL3" s="28" t="s">
        <v>44</v>
      </c>
      <c r="AM3" s="28" t="s">
        <v>43</v>
      </c>
      <c r="AN3" s="28" t="s">
        <v>41</v>
      </c>
      <c r="AO3" s="28" t="s">
        <v>44</v>
      </c>
      <c r="AP3" s="28" t="s">
        <v>43</v>
      </c>
      <c r="AQ3" s="28" t="s">
        <v>41</v>
      </c>
      <c r="AR3" s="28" t="s">
        <v>44</v>
      </c>
      <c r="AS3" s="28" t="s">
        <v>43</v>
      </c>
      <c r="AT3" s="28" t="s">
        <v>41</v>
      </c>
      <c r="AU3" s="28" t="s">
        <v>44</v>
      </c>
      <c r="AV3" s="28" t="s">
        <v>43</v>
      </c>
      <c r="AW3" s="28" t="s">
        <v>41</v>
      </c>
      <c r="AX3" s="28" t="s">
        <v>44</v>
      </c>
      <c r="AY3" s="28" t="s">
        <v>43</v>
      </c>
      <c r="AZ3" s="48" t="s">
        <v>41</v>
      </c>
    </row>
    <row r="4" spans="1:52" s="52" customFormat="1" ht="14.1" customHeight="1" x14ac:dyDescent="0.25">
      <c r="A4" s="37">
        <v>1</v>
      </c>
      <c r="B4" s="31" t="s">
        <v>2</v>
      </c>
      <c r="C4" s="32">
        <v>923032906057</v>
      </c>
      <c r="D4" s="32" t="s">
        <v>50</v>
      </c>
      <c r="E4" s="32">
        <v>923163522270</v>
      </c>
      <c r="F4" s="33">
        <v>45010</v>
      </c>
      <c r="G4" s="31" t="str">
        <f ca="1">IF(F4=TODAY(), "No", "Yes")</f>
        <v>No</v>
      </c>
      <c r="H4" s="4" t="s">
        <v>46</v>
      </c>
      <c r="I4" s="26">
        <v>15</v>
      </c>
      <c r="J4" s="4">
        <v>1</v>
      </c>
      <c r="K4" s="4" t="s">
        <v>51</v>
      </c>
      <c r="L4" s="4">
        <v>5</v>
      </c>
      <c r="M4" s="4">
        <v>20</v>
      </c>
      <c r="N4" s="4" t="s">
        <v>52</v>
      </c>
      <c r="O4" s="4">
        <v>50</v>
      </c>
      <c r="P4" s="4">
        <v>10</v>
      </c>
      <c r="Q4" s="4" t="s">
        <v>53</v>
      </c>
      <c r="R4" s="4">
        <v>200</v>
      </c>
      <c r="S4" s="4">
        <v>1.5</v>
      </c>
      <c r="T4" s="4" t="s">
        <v>54</v>
      </c>
      <c r="U4" s="4">
        <v>5</v>
      </c>
      <c r="V4" s="4">
        <v>20</v>
      </c>
      <c r="W4" s="4" t="s">
        <v>55</v>
      </c>
      <c r="X4" s="4">
        <v>20</v>
      </c>
      <c r="Y4" s="4">
        <v>1</v>
      </c>
      <c r="Z4" s="4" t="s">
        <v>56</v>
      </c>
      <c r="AA4" s="4">
        <v>1500</v>
      </c>
      <c r="AB4" s="4">
        <v>1.5</v>
      </c>
      <c r="AC4" s="4" t="s">
        <v>57</v>
      </c>
      <c r="AD4" s="4">
        <v>45</v>
      </c>
      <c r="AE4" s="4">
        <v>20</v>
      </c>
      <c r="AF4" s="4" t="s">
        <v>58</v>
      </c>
      <c r="AG4" s="4">
        <v>10</v>
      </c>
      <c r="AH4" s="4">
        <v>1550</v>
      </c>
      <c r="AI4" s="4" t="s">
        <v>59</v>
      </c>
      <c r="AJ4" s="4">
        <v>20</v>
      </c>
      <c r="AK4" s="4">
        <v>20</v>
      </c>
      <c r="AL4" s="4" t="s">
        <v>60</v>
      </c>
      <c r="AM4" s="4">
        <v>5</v>
      </c>
      <c r="AN4" s="4">
        <v>1.5</v>
      </c>
      <c r="AO4" s="4" t="s">
        <v>61</v>
      </c>
      <c r="AP4" s="4">
        <v>500</v>
      </c>
      <c r="AQ4" s="4">
        <v>54</v>
      </c>
      <c r="AR4" s="4" t="s">
        <v>62</v>
      </c>
      <c r="AS4" s="4">
        <v>5</v>
      </c>
      <c r="AT4" s="4">
        <v>40</v>
      </c>
      <c r="AU4" s="4" t="s">
        <v>63</v>
      </c>
      <c r="AV4" s="4">
        <v>20</v>
      </c>
      <c r="AW4" s="4">
        <v>10</v>
      </c>
      <c r="AX4" s="4" t="s">
        <v>64</v>
      </c>
      <c r="AY4" s="4">
        <v>5</v>
      </c>
      <c r="AZ4" s="49">
        <v>20</v>
      </c>
    </row>
    <row r="5" spans="1:52" s="52" customFormat="1" ht="15" customHeight="1" x14ac:dyDescent="0.25">
      <c r="A5" s="37">
        <v>2</v>
      </c>
      <c r="B5" s="31" t="s">
        <v>65</v>
      </c>
      <c r="C5" s="32">
        <v>923163522270</v>
      </c>
      <c r="D5" s="32" t="s">
        <v>66</v>
      </c>
      <c r="E5" s="32">
        <v>923032906057</v>
      </c>
      <c r="F5" s="33">
        <v>45010</v>
      </c>
      <c r="G5" s="31" t="str">
        <f t="shared" ref="G5:G25" ca="1" si="0">IF(F5=TODAY(), "No", "Yes")</f>
        <v>No</v>
      </c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9"/>
    </row>
    <row r="6" spans="1:52" s="52" customFormat="1" ht="15" customHeight="1" x14ac:dyDescent="0.25">
      <c r="A6" s="37"/>
      <c r="B6" s="31"/>
      <c r="C6" s="32"/>
      <c r="D6" s="32"/>
      <c r="E6" s="32"/>
      <c r="F6" s="33"/>
      <c r="G6" s="31" t="str">
        <f t="shared" ca="1" si="0"/>
        <v>Yes</v>
      </c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9"/>
    </row>
    <row r="7" spans="1:52" s="52" customFormat="1" ht="15" customHeight="1" x14ac:dyDescent="0.25">
      <c r="A7" s="37"/>
      <c r="B7" s="31"/>
      <c r="C7" s="32"/>
      <c r="D7" s="32"/>
      <c r="E7" s="32"/>
      <c r="F7" s="33"/>
      <c r="G7" s="31" t="str">
        <f t="shared" ca="1" si="0"/>
        <v>Yes</v>
      </c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9"/>
    </row>
    <row r="8" spans="1:52" s="52" customFormat="1" ht="15" customHeight="1" x14ac:dyDescent="0.25">
      <c r="A8" s="37"/>
      <c r="B8" s="31"/>
      <c r="C8" s="32"/>
      <c r="D8" s="32"/>
      <c r="E8" s="32"/>
      <c r="F8" s="33"/>
      <c r="G8" s="31" t="str">
        <f t="shared" ca="1" si="0"/>
        <v>Yes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9"/>
    </row>
    <row r="9" spans="1:52" s="52" customFormat="1" ht="15" customHeight="1" x14ac:dyDescent="0.25">
      <c r="A9" s="37"/>
      <c r="B9" s="31"/>
      <c r="C9" s="32"/>
      <c r="D9" s="32"/>
      <c r="E9" s="32"/>
      <c r="F9" s="33"/>
      <c r="G9" s="31" t="str">
        <f t="shared" ca="1" si="0"/>
        <v>Yes</v>
      </c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9"/>
    </row>
    <row r="10" spans="1:52" s="52" customFormat="1" ht="15" customHeight="1" x14ac:dyDescent="0.25">
      <c r="A10" s="37"/>
      <c r="B10" s="30"/>
      <c r="C10" s="30"/>
      <c r="D10" s="30"/>
      <c r="E10" s="30"/>
      <c r="F10" s="33"/>
      <c r="G10" s="31" t="str">
        <f t="shared" ca="1" si="0"/>
        <v>Yes</v>
      </c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9"/>
    </row>
    <row r="11" spans="1:52" s="52" customFormat="1" x14ac:dyDescent="0.25">
      <c r="A11" s="37"/>
      <c r="B11" s="30"/>
      <c r="C11" s="30"/>
      <c r="D11" s="30"/>
      <c r="E11" s="30"/>
      <c r="F11" s="33"/>
      <c r="G11" s="31" t="str">
        <f t="shared" ca="1" si="0"/>
        <v>Yes</v>
      </c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9"/>
    </row>
    <row r="12" spans="1:52" s="52" customFormat="1" x14ac:dyDescent="0.25">
      <c r="A12" s="37"/>
      <c r="B12" s="30"/>
      <c r="C12" s="30"/>
      <c r="D12" s="30"/>
      <c r="E12" s="30"/>
      <c r="F12" s="33"/>
      <c r="G12" s="31" t="str">
        <f t="shared" ca="1" si="0"/>
        <v>Yes</v>
      </c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9"/>
    </row>
    <row r="13" spans="1:52" s="52" customFormat="1" x14ac:dyDescent="0.25">
      <c r="A13" s="37"/>
      <c r="B13" s="30"/>
      <c r="C13" s="30"/>
      <c r="D13" s="30"/>
      <c r="E13" s="30"/>
      <c r="F13" s="33"/>
      <c r="G13" s="31" t="str">
        <f t="shared" ca="1" si="0"/>
        <v>Yes</v>
      </c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9"/>
    </row>
    <row r="14" spans="1:52" s="52" customFormat="1" x14ac:dyDescent="0.25">
      <c r="A14" s="37"/>
      <c r="B14" s="30"/>
      <c r="C14" s="30"/>
      <c r="D14" s="30"/>
      <c r="E14" s="30"/>
      <c r="F14" s="33"/>
      <c r="G14" s="31" t="str">
        <f t="shared" ca="1" si="0"/>
        <v>Yes</v>
      </c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9"/>
    </row>
    <row r="15" spans="1:52" s="52" customFormat="1" x14ac:dyDescent="0.25">
      <c r="A15" s="37"/>
      <c r="B15" s="30"/>
      <c r="C15" s="30"/>
      <c r="D15" s="30"/>
      <c r="E15" s="30"/>
      <c r="F15" s="33"/>
      <c r="G15" s="31" t="str">
        <f t="shared" ca="1" si="0"/>
        <v>Yes</v>
      </c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9"/>
    </row>
    <row r="16" spans="1:52" s="52" customFormat="1" x14ac:dyDescent="0.25">
      <c r="A16" s="37"/>
      <c r="B16" s="30"/>
      <c r="C16" s="30"/>
      <c r="D16" s="30"/>
      <c r="E16" s="30"/>
      <c r="F16" s="33"/>
      <c r="G16" s="31" t="str">
        <f t="shared" ca="1" si="0"/>
        <v>Yes</v>
      </c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9"/>
    </row>
    <row r="17" spans="1:52" s="52" customFormat="1" x14ac:dyDescent="0.25">
      <c r="A17" s="37"/>
      <c r="B17" s="30"/>
      <c r="C17" s="30"/>
      <c r="D17" s="30"/>
      <c r="E17" s="30"/>
      <c r="F17" s="33"/>
      <c r="G17" s="31" t="str">
        <f t="shared" ca="1" si="0"/>
        <v>Yes</v>
      </c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9"/>
    </row>
    <row r="18" spans="1:52" s="52" customFormat="1" x14ac:dyDescent="0.25">
      <c r="A18" s="37"/>
      <c r="B18" s="30"/>
      <c r="C18" s="30"/>
      <c r="D18" s="30"/>
      <c r="E18" s="30"/>
      <c r="F18" s="33"/>
      <c r="G18" s="31" t="str">
        <f t="shared" ca="1" si="0"/>
        <v>Yes</v>
      </c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9"/>
    </row>
    <row r="19" spans="1:52" s="52" customFormat="1" x14ac:dyDescent="0.25">
      <c r="A19" s="37"/>
      <c r="B19" s="30"/>
      <c r="C19" s="30"/>
      <c r="D19" s="30"/>
      <c r="E19" s="30"/>
      <c r="F19" s="33"/>
      <c r="G19" s="31" t="str">
        <f t="shared" ca="1" si="0"/>
        <v>Yes</v>
      </c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9"/>
    </row>
    <row r="20" spans="1:52" s="52" customFormat="1" x14ac:dyDescent="0.25">
      <c r="A20" s="37"/>
      <c r="B20" s="30"/>
      <c r="C20" s="30"/>
      <c r="D20" s="30"/>
      <c r="E20" s="30"/>
      <c r="F20" s="33"/>
      <c r="G20" s="31" t="str">
        <f t="shared" ca="1" si="0"/>
        <v>Yes</v>
      </c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9"/>
    </row>
    <row r="21" spans="1:52" s="52" customFormat="1" x14ac:dyDescent="0.25">
      <c r="A21" s="37"/>
      <c r="B21" s="30"/>
      <c r="C21" s="30"/>
      <c r="D21" s="30"/>
      <c r="E21" s="30"/>
      <c r="F21" s="33"/>
      <c r="G21" s="31" t="str">
        <f t="shared" ca="1" si="0"/>
        <v>Yes</v>
      </c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9"/>
    </row>
    <row r="22" spans="1:52" s="52" customFormat="1" x14ac:dyDescent="0.25">
      <c r="A22" s="37"/>
      <c r="B22" s="30"/>
      <c r="C22" s="30"/>
      <c r="D22" s="30"/>
      <c r="E22" s="30"/>
      <c r="F22" s="33"/>
      <c r="G22" s="31" t="str">
        <f t="shared" ca="1" si="0"/>
        <v>Yes</v>
      </c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9"/>
    </row>
    <row r="23" spans="1:52" s="52" customFormat="1" x14ac:dyDescent="0.25">
      <c r="A23" s="37"/>
      <c r="B23" s="30"/>
      <c r="C23" s="30"/>
      <c r="D23" s="30"/>
      <c r="E23" s="30"/>
      <c r="F23" s="33"/>
      <c r="G23" s="31" t="str">
        <f t="shared" ca="1" si="0"/>
        <v>Yes</v>
      </c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9"/>
    </row>
    <row r="24" spans="1:52" s="52" customFormat="1" x14ac:dyDescent="0.25">
      <c r="A24" s="42"/>
      <c r="B24" s="43"/>
      <c r="C24" s="43"/>
      <c r="D24" s="43"/>
      <c r="E24" s="43"/>
      <c r="F24" s="44"/>
      <c r="G24" s="31" t="str">
        <f t="shared" ca="1" si="0"/>
        <v>Yes</v>
      </c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50"/>
    </row>
    <row r="25" spans="1:52" s="52" customFormat="1" x14ac:dyDescent="0.25">
      <c r="A25" s="42"/>
      <c r="B25" s="43"/>
      <c r="C25" s="43"/>
      <c r="D25" s="43"/>
      <c r="E25" s="43"/>
      <c r="F25" s="44"/>
      <c r="G25" s="31" t="str">
        <f t="shared" ca="1" si="0"/>
        <v>Yes</v>
      </c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5"/>
      <c r="AI25" s="45"/>
      <c r="AJ25" s="45"/>
      <c r="AK25" s="45"/>
      <c r="AL25" s="45"/>
      <c r="AM25" s="45"/>
      <c r="AN25" s="45"/>
      <c r="AO25" s="45"/>
      <c r="AP25" s="45"/>
      <c r="AQ25" s="45"/>
      <c r="AR25" s="45"/>
      <c r="AS25" s="45"/>
      <c r="AT25" s="45"/>
      <c r="AU25" s="45"/>
      <c r="AV25" s="45"/>
      <c r="AW25" s="45"/>
      <c r="AX25" s="45"/>
      <c r="AY25" s="45"/>
      <c r="AZ25" s="50"/>
    </row>
    <row r="26" spans="1:52" s="52" customFormat="1" ht="15.75" thickBot="1" x14ac:dyDescent="0.3">
      <c r="A26" s="38"/>
      <c r="B26" s="39"/>
      <c r="C26" s="39"/>
      <c r="D26" s="39"/>
      <c r="E26" s="39"/>
      <c r="F26" s="40"/>
      <c r="G26" s="41" t="s">
        <v>67</v>
      </c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51"/>
    </row>
  </sheetData>
  <dataValidations count="1">
    <dataValidation type="list" allowBlank="1" showInputMessage="1" showErrorMessage="1" sqref="G4:G1048576">
      <formula1>"Yes,No"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E98"/>
  <sheetViews>
    <sheetView showGridLines="0" tabSelected="1" workbookViewId="0">
      <selection activeCell="B3" sqref="B3:E3"/>
    </sheetView>
  </sheetViews>
  <sheetFormatPr defaultRowHeight="15" x14ac:dyDescent="0.25"/>
  <cols>
    <col min="1" max="1" width="15.7109375" customWidth="1"/>
    <col min="2" max="2" width="40.7109375" customWidth="1"/>
    <col min="3" max="3" width="12.7109375" customWidth="1"/>
    <col min="4" max="4" width="8" customWidth="1"/>
    <col min="5" max="9" width="15.7109375" customWidth="1"/>
  </cols>
  <sheetData>
    <row r="1" spans="2:5" ht="15" customHeight="1" x14ac:dyDescent="0.25"/>
    <row r="2" spans="2:5" ht="15" customHeight="1" thickBot="1" x14ac:dyDescent="0.3">
      <c r="B2" s="5"/>
      <c r="C2" s="6"/>
      <c r="D2" s="6"/>
      <c r="E2" s="7"/>
    </row>
    <row r="3" spans="2:5" ht="15" customHeight="1" thickBot="1" x14ac:dyDescent="0.3">
      <c r="B3" s="10" t="s">
        <v>50</v>
      </c>
      <c r="C3" s="11"/>
      <c r="D3" s="11"/>
      <c r="E3" s="12"/>
    </row>
    <row r="4" spans="2:5" ht="15" customHeight="1" x14ac:dyDescent="0.25">
      <c r="B4" s="20" t="s">
        <v>40</v>
      </c>
      <c r="C4" s="22" t="s">
        <v>43</v>
      </c>
      <c r="D4" s="22" t="s">
        <v>41</v>
      </c>
      <c r="E4" s="24" t="s">
        <v>45</v>
      </c>
    </row>
    <row r="5" spans="2:5" ht="15" customHeight="1" x14ac:dyDescent="0.25">
      <c r="B5" s="21"/>
      <c r="C5" s="23"/>
      <c r="D5" s="23"/>
      <c r="E5" s="25"/>
    </row>
    <row r="6" spans="2:5" ht="15" customHeight="1" x14ac:dyDescent="0.25">
      <c r="B6" s="9" t="s">
        <v>46</v>
      </c>
      <c r="C6" s="8">
        <v>15</v>
      </c>
      <c r="D6" s="8">
        <v>1</v>
      </c>
      <c r="E6" s="15">
        <f t="shared" ref="E6:E20" si="0">C6*D6</f>
        <v>15</v>
      </c>
    </row>
    <row r="7" spans="2:5" ht="15" customHeight="1" x14ac:dyDescent="0.25">
      <c r="B7" s="9" t="s">
        <v>51</v>
      </c>
      <c r="C7" s="8">
        <v>5</v>
      </c>
      <c r="D7" s="8">
        <v>20</v>
      </c>
      <c r="E7" s="15">
        <f t="shared" si="0"/>
        <v>100</v>
      </c>
    </row>
    <row r="8" spans="2:5" ht="15" customHeight="1" x14ac:dyDescent="0.25">
      <c r="B8" s="9" t="s">
        <v>52</v>
      </c>
      <c r="C8" s="8">
        <v>50</v>
      </c>
      <c r="D8" s="8">
        <v>10</v>
      </c>
      <c r="E8" s="15">
        <f t="shared" si="0"/>
        <v>500</v>
      </c>
    </row>
    <row r="9" spans="2:5" ht="15" customHeight="1" x14ac:dyDescent="0.25">
      <c r="B9" s="9" t="s">
        <v>53</v>
      </c>
      <c r="C9" s="8">
        <v>200</v>
      </c>
      <c r="D9" s="8">
        <v>1.5</v>
      </c>
      <c r="E9" s="15">
        <f t="shared" si="0"/>
        <v>300</v>
      </c>
    </row>
    <row r="10" spans="2:5" ht="15" customHeight="1" x14ac:dyDescent="0.25">
      <c r="B10" s="9" t="s">
        <v>54</v>
      </c>
      <c r="C10" s="8">
        <v>5</v>
      </c>
      <c r="D10" s="8">
        <v>20</v>
      </c>
      <c r="E10" s="15">
        <f t="shared" si="0"/>
        <v>100</v>
      </c>
    </row>
    <row r="11" spans="2:5" ht="15" customHeight="1" x14ac:dyDescent="0.25">
      <c r="B11" s="9" t="s">
        <v>55</v>
      </c>
      <c r="C11" s="8">
        <v>20</v>
      </c>
      <c r="D11" s="8">
        <v>1</v>
      </c>
      <c r="E11" s="15">
        <f t="shared" si="0"/>
        <v>20</v>
      </c>
    </row>
    <row r="12" spans="2:5" ht="15" customHeight="1" x14ac:dyDescent="0.25">
      <c r="B12" s="9" t="s">
        <v>56</v>
      </c>
      <c r="C12" s="8">
        <v>1500</v>
      </c>
      <c r="D12" s="8">
        <v>1.5</v>
      </c>
      <c r="E12" s="15">
        <f t="shared" si="0"/>
        <v>2250</v>
      </c>
    </row>
    <row r="13" spans="2:5" ht="15" customHeight="1" x14ac:dyDescent="0.25">
      <c r="B13" s="9" t="s">
        <v>57</v>
      </c>
      <c r="C13" s="8">
        <v>45</v>
      </c>
      <c r="D13" s="8">
        <v>20</v>
      </c>
      <c r="E13" s="15">
        <f t="shared" si="0"/>
        <v>900</v>
      </c>
    </row>
    <row r="14" spans="2:5" ht="15" customHeight="1" x14ac:dyDescent="0.25">
      <c r="B14" s="9" t="s">
        <v>58</v>
      </c>
      <c r="C14" s="8">
        <v>10</v>
      </c>
      <c r="D14" s="8">
        <v>1550</v>
      </c>
      <c r="E14" s="15">
        <f t="shared" si="0"/>
        <v>15500</v>
      </c>
    </row>
    <row r="15" spans="2:5" ht="15" customHeight="1" x14ac:dyDescent="0.25">
      <c r="B15" s="9" t="s">
        <v>59</v>
      </c>
      <c r="C15" s="8">
        <v>20</v>
      </c>
      <c r="D15" s="8">
        <v>20</v>
      </c>
      <c r="E15" s="15">
        <f t="shared" si="0"/>
        <v>400</v>
      </c>
    </row>
    <row r="16" spans="2:5" ht="15" customHeight="1" x14ac:dyDescent="0.25">
      <c r="B16" s="9" t="s">
        <v>60</v>
      </c>
      <c r="C16" s="8">
        <v>5</v>
      </c>
      <c r="D16" s="8">
        <v>1.5</v>
      </c>
      <c r="E16" s="15">
        <f t="shared" si="0"/>
        <v>7.5</v>
      </c>
    </row>
    <row r="17" spans="2:5" ht="15" customHeight="1" x14ac:dyDescent="0.25">
      <c r="B17" s="9" t="s">
        <v>61</v>
      </c>
      <c r="C17" s="8">
        <v>500</v>
      </c>
      <c r="D17" s="8">
        <v>54</v>
      </c>
      <c r="E17" s="15">
        <f t="shared" si="0"/>
        <v>27000</v>
      </c>
    </row>
    <row r="18" spans="2:5" ht="15" customHeight="1" x14ac:dyDescent="0.25">
      <c r="B18" s="9" t="s">
        <v>62</v>
      </c>
      <c r="C18" s="8">
        <v>5</v>
      </c>
      <c r="D18" s="8">
        <v>40</v>
      </c>
      <c r="E18" s="15">
        <f t="shared" si="0"/>
        <v>200</v>
      </c>
    </row>
    <row r="19" spans="2:5" ht="15" customHeight="1" x14ac:dyDescent="0.25">
      <c r="B19" s="9" t="s">
        <v>63</v>
      </c>
      <c r="C19" s="8">
        <v>20</v>
      </c>
      <c r="D19" s="8">
        <v>10</v>
      </c>
      <c r="E19" s="15">
        <f t="shared" si="0"/>
        <v>200</v>
      </c>
    </row>
    <row r="20" spans="2:5" ht="15" customHeight="1" x14ac:dyDescent="0.25">
      <c r="B20" s="9" t="s">
        <v>64</v>
      </c>
      <c r="C20" s="8">
        <v>5</v>
      </c>
      <c r="D20" s="8">
        <v>20</v>
      </c>
      <c r="E20" s="15">
        <f t="shared" si="0"/>
        <v>100</v>
      </c>
    </row>
    <row r="21" spans="2:5" ht="15" customHeight="1" x14ac:dyDescent="0.25">
      <c r="B21" s="17"/>
      <c r="C21" s="18"/>
      <c r="D21" s="18"/>
      <c r="E21" s="19"/>
    </row>
    <row r="22" spans="2:5" ht="15" customHeight="1" thickBot="1" x14ac:dyDescent="0.3">
      <c r="B22" s="13" t="s">
        <v>42</v>
      </c>
      <c r="C22" s="14"/>
      <c r="D22" s="14"/>
      <c r="E22" s="16">
        <f>SUM(E6:E20)</f>
        <v>47592.5</v>
      </c>
    </row>
    <row r="23" spans="2:5" ht="15" customHeight="1" x14ac:dyDescent="0.25"/>
    <row r="24" spans="2:5" ht="15" customHeight="1" x14ac:dyDescent="0.25"/>
    <row r="25" spans="2:5" ht="15" customHeight="1" x14ac:dyDescent="0.25"/>
    <row r="26" spans="2:5" ht="15" customHeight="1" x14ac:dyDescent="0.25"/>
    <row r="27" spans="2:5" ht="15" customHeight="1" x14ac:dyDescent="0.25"/>
    <row r="28" spans="2:5" ht="15" customHeight="1" x14ac:dyDescent="0.25"/>
    <row r="29" spans="2:5" ht="15" customHeight="1" x14ac:dyDescent="0.25"/>
    <row r="30" spans="2:5" ht="15" customHeight="1" x14ac:dyDescent="0.25"/>
    <row r="31" spans="2:5" ht="15" customHeight="1" x14ac:dyDescent="0.25"/>
    <row r="32" spans="2:5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</sheetData>
  <mergeCells count="7">
    <mergeCell ref="B3:E3"/>
    <mergeCell ref="B22:D22"/>
    <mergeCell ref="B21:E21"/>
    <mergeCell ref="B4:B5"/>
    <mergeCell ref="C4:C5"/>
    <mergeCell ref="D4:D5"/>
    <mergeCell ref="E4:E5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L26"/>
  <sheetViews>
    <sheetView showGridLines="0" showRowColHeaders="0" workbookViewId="0"/>
  </sheetViews>
  <sheetFormatPr defaultRowHeight="15" x14ac:dyDescent="0.25"/>
  <cols>
    <col min="1" max="1" width="2.5703125" customWidth="1"/>
    <col min="2" max="2" width="25.42578125" bestFit="1" customWidth="1"/>
  </cols>
  <sheetData>
    <row r="4" spans="2:12" x14ac:dyDescent="0.35">
      <c r="B4" t="s">
        <v>5</v>
      </c>
      <c r="L4" t="s">
        <v>6</v>
      </c>
    </row>
    <row r="5" spans="2:12" x14ac:dyDescent="0.35">
      <c r="B5" s="2" t="s">
        <v>7</v>
      </c>
      <c r="L5" s="2" t="s">
        <v>8</v>
      </c>
    </row>
    <row r="7" spans="2:12" x14ac:dyDescent="0.35">
      <c r="B7" t="s">
        <v>9</v>
      </c>
      <c r="L7" t="s">
        <v>10</v>
      </c>
    </row>
    <row r="8" spans="2:12" x14ac:dyDescent="0.35">
      <c r="B8" s="2" t="s">
        <v>11</v>
      </c>
      <c r="L8" s="2" t="s">
        <v>12</v>
      </c>
    </row>
    <row r="10" spans="2:12" x14ac:dyDescent="0.35">
      <c r="B10" s="3" t="s">
        <v>13</v>
      </c>
      <c r="L10" t="s">
        <v>14</v>
      </c>
    </row>
    <row r="11" spans="2:12" x14ac:dyDescent="0.35">
      <c r="B11" t="s">
        <v>15</v>
      </c>
      <c r="C11" s="2" t="s">
        <v>16</v>
      </c>
      <c r="L11" s="2" t="s">
        <v>17</v>
      </c>
    </row>
    <row r="12" spans="2:12" x14ac:dyDescent="0.35">
      <c r="B12" t="s">
        <v>18</v>
      </c>
      <c r="C12" s="2" t="s">
        <v>19</v>
      </c>
    </row>
    <row r="13" spans="2:12" x14ac:dyDescent="0.35">
      <c r="B13" t="s">
        <v>20</v>
      </c>
      <c r="C13" s="2" t="s">
        <v>21</v>
      </c>
      <c r="L13" t="s">
        <v>22</v>
      </c>
    </row>
    <row r="14" spans="2:12" x14ac:dyDescent="0.35">
      <c r="B14" t="s">
        <v>23</v>
      </c>
      <c r="C14" s="2" t="s">
        <v>24</v>
      </c>
      <c r="L14" s="2" t="s">
        <v>25</v>
      </c>
    </row>
    <row r="16" spans="2:12" x14ac:dyDescent="0.25">
      <c r="B16" t="s">
        <v>26</v>
      </c>
      <c r="L16" t="s">
        <v>27</v>
      </c>
    </row>
    <row r="17" spans="2:12" x14ac:dyDescent="0.25">
      <c r="B17" s="2" t="s">
        <v>28</v>
      </c>
      <c r="L17" s="2" t="s">
        <v>29</v>
      </c>
    </row>
    <row r="19" spans="2:12" x14ac:dyDescent="0.25">
      <c r="B19" t="s">
        <v>30</v>
      </c>
      <c r="L19" t="s">
        <v>31</v>
      </c>
    </row>
    <row r="20" spans="2:12" x14ac:dyDescent="0.25">
      <c r="B20" s="2" t="s">
        <v>32</v>
      </c>
      <c r="L20" s="2" t="s">
        <v>33</v>
      </c>
    </row>
    <row r="22" spans="2:12" x14ac:dyDescent="0.25">
      <c r="B22" t="s">
        <v>34</v>
      </c>
      <c r="L22" t="s">
        <v>35</v>
      </c>
    </row>
    <row r="23" spans="2:12" x14ac:dyDescent="0.25">
      <c r="B23" s="2" t="s">
        <v>36</v>
      </c>
      <c r="L23" s="2" t="s">
        <v>37</v>
      </c>
    </row>
    <row r="25" spans="2:12" x14ac:dyDescent="0.25">
      <c r="L25" t="s">
        <v>38</v>
      </c>
    </row>
    <row r="26" spans="2:12" x14ac:dyDescent="0.25">
      <c r="L26" s="2" t="s">
        <v>39</v>
      </c>
    </row>
  </sheetData>
  <hyperlinks>
    <hyperlink ref="B5" r:id="rId1"/>
    <hyperlink ref="B8" r:id="rId2"/>
    <hyperlink ref="C11" r:id="rId3"/>
    <hyperlink ref="C12" r:id="rId4"/>
    <hyperlink ref="C13" r:id="rId5"/>
    <hyperlink ref="C14" r:id="rId6"/>
    <hyperlink ref="B17" r:id="rId7"/>
    <hyperlink ref="B20" r:id="rId8"/>
    <hyperlink ref="B23" r:id="rId9"/>
    <hyperlink ref="L8" r:id="rId10"/>
    <hyperlink ref="L11" r:id="rId11"/>
    <hyperlink ref="L14" r:id="rId12"/>
    <hyperlink ref="L17" r:id="rId13"/>
    <hyperlink ref="L26" r:id="rId14"/>
    <hyperlink ref="L5" r:id="rId15"/>
    <hyperlink ref="L20" r:id="rId16"/>
    <hyperlink ref="L23" r:id="rId17"/>
  </hyperlinks>
  <pageMargins left="0.7" right="0.7" top="0.75" bottom="0.75" header="0.3" footer="0.3"/>
  <drawing r:id="rId1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Template</vt:lpstr>
      <vt:lpstr>Resource Links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PK: An Excel Expert</dc:creator>
  <cp:lastModifiedBy>AALIYAN'Z COMPUTER</cp:lastModifiedBy>
  <dcterms:created xsi:type="dcterms:W3CDTF">2022-11-03T12:45:25Z</dcterms:created>
  <dcterms:modified xsi:type="dcterms:W3CDTF">2023-03-25T11:16:07Z</dcterms:modified>
</cp:coreProperties>
</file>